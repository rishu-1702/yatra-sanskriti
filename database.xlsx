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eateries" sheetId="1" r:id="rId5"/>
    <sheet state="visible" name="hotel_stays" sheetId="2" r:id="rId6"/>
    <sheet state="visible" name="transport_rentals" sheetId="3" r:id="rId7"/>
    <sheet state="visible" name="monuments_gems" sheetId="4" r:id="rId8"/>
    <sheet state="visible" name="master_artisans" sheetId="5" r:id="rId9"/>
  </sheets>
  <definedNames/>
  <calcPr/>
</workbook>
</file>

<file path=xl/sharedStrings.xml><?xml version="1.0" encoding="utf-8"?>
<sst xmlns="http://schemas.openxmlformats.org/spreadsheetml/2006/main" count="289" uniqueCount="217">
  <si>
    <t>id</t>
  </si>
  <si>
    <t>name</t>
  </si>
  <si>
    <t>district</t>
  </si>
  <si>
    <t>location</t>
  </si>
  <si>
    <t>lat</t>
  </si>
  <si>
    <t>lng</t>
  </si>
  <si>
    <t>cuisineType</t>
  </si>
  <si>
    <t>priceRange</t>
  </si>
  <si>
    <t>budgetTier</t>
  </si>
  <si>
    <t>stayType</t>
  </si>
  <si>
    <t>famousDishes</t>
  </si>
  <si>
    <t>rating</t>
  </si>
  <si>
    <t>pricePerNight</t>
  </si>
  <si>
    <t>timing</t>
  </si>
  <si>
    <t>vehicleType</t>
  </si>
  <si>
    <t>rateCard</t>
  </si>
  <si>
    <t>amenities</t>
  </si>
  <si>
    <t>contact</t>
  </si>
  <si>
    <t>available</t>
  </si>
  <si>
    <t>isPureVeg</t>
  </si>
  <si>
    <t>food-01</t>
  </si>
  <si>
    <t>transport-01</t>
  </si>
  <si>
    <t>hotel-01</t>
  </si>
  <si>
    <t>Ananta Vasudeva Temple Kitchens</t>
  </si>
  <si>
    <t>Puri-Konark Marine Drive Scooty Rentals</t>
  </si>
  <si>
    <t>Raghurajpur Artisan Village Eco-Homestay</t>
  </si>
  <si>
    <t>Khordha</t>
  </si>
  <si>
    <t>Puri</t>
  </si>
  <si>
    <t>Old Town, Bhubaneswar</t>
  </si>
  <si>
    <t>Puri Railway &amp; Sea Beach Hub</t>
  </si>
  <si>
    <t>Raghurajpur Crafts Village</t>
  </si>
  <si>
    <t>Authentic Temple Sattvic</t>
  </si>
  <si>
    <t>Honda Activa / Royal Enfield Cruiser</t>
  </si>
  <si>
    <t>Village Cultural Homestay</t>
  </si>
  <si>
    <t>₹80 - ₹180 / person</t>
  </si>
  <si>
    <t>₹60/hr • ₹350 - ₹450 / day</t>
  </si>
  <si>
    <t>cheap</t>
  </si>
  <si>
    <t>₹450 - ₹850 / night</t>
  </si>
  <si>
    <t>24 Vehicles Ready</t>
  </si>
  <si>
    <t>Earthen Pot Dalma, Kanika Sweet Rice, Khiri</t>
  </si>
  <si>
    <t>11:30 AM - 4:00 PM</t>
  </si>
  <si>
    <t>Stay with Artisan Family, Homecooked Meals, Workshop</t>
  </si>
  <si>
    <t>transport-02</t>
  </si>
  <si>
    <t>hotel-02</t>
  </si>
  <si>
    <t>Raghurajpur Eco E-Rickshaw Cooperative</t>
  </si>
  <si>
    <t>OTDC Panthanivas Puri</t>
  </si>
  <si>
    <t>Chandanpur Highway Stop</t>
  </si>
  <si>
    <t>Chakratirtha Sea Beach Road</t>
  </si>
  <si>
    <t>Green Battery E-Rickshaw / Toto</t>
  </si>
  <si>
    <t>Govt. Heritage Resort</t>
  </si>
  <si>
    <t>₹20 - ₹30 / seat • ₹250 / 3-hr Tour</t>
  </si>
  <si>
    <t>₹1,200 - ₹2,400 / night</t>
  </si>
  <si>
    <t>18 Totos Ready</t>
  </si>
  <si>
    <t>budget-moderate</t>
  </si>
  <si>
    <t>Sea Beachfront, 24/7 Security, Odia Restaurant</t>
  </si>
  <si>
    <t>1800-208-1414</t>
  </si>
  <si>
    <t>transport-03</t>
  </si>
  <si>
    <t>Ekamra Mo Auto &amp; Self-Drive Cabs</t>
  </si>
  <si>
    <t>Airport &amp; Master Canteen, Bhubaneswar</t>
  </si>
  <si>
    <t>Metered CNG Autos &amp; Hatchback Cars</t>
  </si>
  <si>
    <t>₹120/hr metered • ₹1,100/day self-drive</t>
  </si>
  <si>
    <t>hotel-03</t>
  </si>
  <si>
    <t>35 Cabs Ready</t>
  </si>
  <si>
    <t>food-02</t>
  </si>
  <si>
    <t>Yatri Nivas &amp; Backpacker Dorms</t>
  </si>
  <si>
    <t>Maa Tarini Dahibara Aloodum</t>
  </si>
  <si>
    <t>Cuttack</t>
  </si>
  <si>
    <t>Sun Temple Road, Konark</t>
  </si>
  <si>
    <t>Bidanasi, Near Barabati Fort</t>
  </si>
  <si>
    <t>Cuttacki Street Delicacy</t>
  </si>
  <si>
    <t>Backpacker Dorm &amp; Lodge</t>
  </si>
  <si>
    <t>₹40 - ₹70 / plate</t>
  </si>
  <si>
    <t>₹350 / bed • ₹900 / room</t>
  </si>
  <si>
    <t>transport-04</t>
  </si>
  <si>
    <t>Dahibara Aloodum with Dahi Pani, Guguni, Sev</t>
  </si>
  <si>
    <t>7:00 AM - 12:00 PM</t>
  </si>
  <si>
    <t>category</t>
  </si>
  <si>
    <t>Chilika Lake Heritage Boatmen Guild</t>
  </si>
  <si>
    <t>Bicycle Rental Onsite, Free Wi-Fi, Hot Water</t>
  </si>
  <si>
    <t>isGem</t>
  </si>
  <si>
    <t>food-03</t>
  </si>
  <si>
    <t>Bapuji Chhena Poda Sweets Hub</t>
  </si>
  <si>
    <t>Satapada Jetty, Chilika Lagoon</t>
  </si>
  <si>
    <t>footfallStatus</t>
  </si>
  <si>
    <t>Marine Drive Junction</t>
  </si>
  <si>
    <t>OTDC Motorized &amp; Row Boats</t>
  </si>
  <si>
    <t>₹1,200 per boat (Dolphin 2-hr tour)</t>
  </si>
  <si>
    <t>40 Boats Ready</t>
  </si>
  <si>
    <t>Baked Caramel Sweet</t>
  </si>
  <si>
    <t>₹60 - ₹150 / box</t>
  </si>
  <si>
    <t>Sal-Leaf Baked Chhena Poda, Rasabali, Gaja</t>
  </si>
  <si>
    <t>crowdLevel</t>
  </si>
  <si>
    <t>6:30 AM - 10:00 PM</t>
  </si>
  <si>
    <t>hotel-04</t>
  </si>
  <si>
    <t>averageWaitMins</t>
  </si>
  <si>
    <t>Ratnagiri Buddhist Vihara Eco-Resort</t>
  </si>
  <si>
    <t>Jajpur</t>
  </si>
  <si>
    <t>food-04</t>
  </si>
  <si>
    <t>description</t>
  </si>
  <si>
    <t>Monastic Ruins, Ratnagiri</t>
  </si>
  <si>
    <t>Raghurajpur Village Bhojanalaya</t>
  </si>
  <si>
    <t>ticketPrice</t>
  </si>
  <si>
    <t>Heritage Eco-Retreat</t>
  </si>
  <si>
    <t>₹800 - ₹1,500 / night</t>
  </si>
  <si>
    <t>Rural Odia Thali</t>
  </si>
  <si>
    <t>₹90 - ₹140 / Thali</t>
  </si>
  <si>
    <t>nearestTransit</t>
  </si>
  <si>
    <t>Meditation Garden, Organic Local Meals, Guides</t>
  </si>
  <si>
    <t>Badi Chura, Saga Bhaja, Pakhala Bhata</t>
  </si>
  <si>
    <t>12:00 PM - 3:30 PM</t>
  </si>
  <si>
    <t>dest-01</t>
  </si>
  <si>
    <t>Raghurajpur Pattachitra Heritage Village</t>
  </si>
  <si>
    <t>food-05</t>
  </si>
  <si>
    <t>hotel-05</t>
  </si>
  <si>
    <t>Nrisingha Sweets Khaja Mart</t>
  </si>
  <si>
    <t>Ekamra Heritage Guesthouse</t>
  </si>
  <si>
    <t>Grand Road, Puri</t>
  </si>
  <si>
    <t>Crisp Heritage Khaja</t>
  </si>
  <si>
    <t>₹50 - ₹120 / packet</t>
  </si>
  <si>
    <t>Hidden Gem</t>
  </si>
  <si>
    <t>Temple Haveli Guesthouse</t>
  </si>
  <si>
    <t>Crisp Layered Feni Khaja, Ghee Gaja</t>
  </si>
  <si>
    <t>₹700 - ₹1,300 / night</t>
  </si>
  <si>
    <t>Low Density (14% Capacity)</t>
  </si>
  <si>
    <t>7:00 AM - 11:00 PM</t>
  </si>
  <si>
    <t>Rooftop Temple View Terrace, Heritage Walk Guide</t>
  </si>
  <si>
    <t>low</t>
  </si>
  <si>
    <t>India's first Heritage Crafts Village where every home is an active studio. Preserves 5th-century Pattachitra and palm leaf art.</t>
  </si>
  <si>
    <t>Free Entry</t>
  </si>
  <si>
    <t>Chandanpur Bus Stop (1.8 km) / Puri Railway (12 km)</t>
  </si>
  <si>
    <t>dest-02</t>
  </si>
  <si>
    <t>Konark Sun Temple (The Black Pagoda)</t>
  </si>
  <si>
    <t>Known Landmark</t>
  </si>
  <si>
    <t>High Peak Density (88% Capacity)</t>
  </si>
  <si>
    <t>high</t>
  </si>
  <si>
    <t>UNESCO World Heritage Site built in 1250 CE by King Narasimhadeva I. Colossal 24-wheeled chariot of Surya functioning as a sundial.</t>
  </si>
  <si>
    <t>₹40 (Indians) / ₹600 (Foreigners)</t>
  </si>
  <si>
    <t>Konark Bus Stand (0.5 km) / Puri (35 km)</t>
  </si>
  <si>
    <t>dest-03</t>
  </si>
  <si>
    <t>Ratnagiri &amp; Lalitgiri Buddhist Viharas</t>
  </si>
  <si>
    <t>Serene &amp; Quiet (12% Capacity)</t>
  </si>
  <si>
    <t>Premier Buddhist monastic university (5th-12th century CE) celebrated for carved green chlorite portals and Tantric Vajrayana stupas.</t>
  </si>
  <si>
    <t>₹25 (ASI Protected)</t>
  </si>
  <si>
    <t>Cuttack Railway (70 km) / Jajpur Road (45 km)</t>
  </si>
  <si>
    <t>dest-04</t>
  </si>
  <si>
    <t>Dhauli Peace Pagoda &amp; Ashokan Edicts</t>
  </si>
  <si>
    <t>Moderate (48% Capacity)</t>
  </si>
  <si>
    <t>normal</t>
  </si>
  <si>
    <t>Site of the Great Kalinga War (261 BCE) where Emperor Ashoka renounced violence and adopted Buddhism.</t>
  </si>
  <si>
    <t>Bhubaneswar City (8 km)</t>
  </si>
  <si>
    <t>dest-05</t>
  </si>
  <si>
    <t>Pipili Applique Craft Enclave</t>
  </si>
  <si>
    <t>Low-Moderate (22% Capacity)</t>
  </si>
  <si>
    <t>12th-century guild tailoring royal umbrellas, banners, and colorful applique canopies for the annual Jagannath Ratha Yatra.</t>
  </si>
  <si>
    <t>Pipili Toll Gate / NH-316 (0.2 km)</t>
  </si>
  <si>
    <t>dest-06</t>
  </si>
  <si>
    <t>10th-Century Barabati Medieval Fort</t>
  </si>
  <si>
    <t>Serene (18% Capacity)</t>
  </si>
  <si>
    <t>9-storey stone citadel and moat built by the Somavamsi and Ganga kings on the banks of River Mahanadi. Home of historic Bali Jatra.</t>
  </si>
  <si>
    <t>Cuttack Railway Station (5 km)</t>
  </si>
  <si>
    <t>dest-07</t>
  </si>
  <si>
    <t>Chausathi Yogini Temple Hirapur</t>
  </si>
  <si>
    <t>Intimate &amp; Secret (8% Capacity)</t>
  </si>
  <si>
    <t>Rare 9th-century circular roofless temple with 64 black chlorite Yogini sculptures standing atop animal vahanas.</t>
  </si>
  <si>
    <t>Bhubaneswar Lingaraj Station (10 km)</t>
  </si>
  <si>
    <t>craftTitle</t>
  </si>
  <si>
    <t>village</t>
  </si>
  <si>
    <t>giTagId</t>
  </si>
  <si>
    <t>reviewsCount</t>
  </si>
  <si>
    <t>masterclassFee</t>
  </si>
  <si>
    <t>phone</t>
  </si>
  <si>
    <t>upiId</t>
  </si>
  <si>
    <t>bio</t>
  </si>
  <si>
    <t>artisan-01</t>
  </si>
  <si>
    <t>Guru Rabindra Maharana</t>
  </si>
  <si>
    <t>Master of Palm Leaf Engraving (Tala Pattachitra) &amp; Natural Dyes</t>
  </si>
  <si>
    <t>Raghurajpur Crafts Village, Studio #14</t>
  </si>
  <si>
    <t>#OD-PATTA-RAGHU-204</t>
  </si>
  <si>
    <t>rabindra.maharana@upi</t>
  </si>
  <si>
    <t>Practicing the 800-year-old art using dried palmyra leaves inscribed with an iron stylus (Lekhani) and stained with lamp soot.</t>
  </si>
  <si>
    <t>artisan-02</t>
  </si>
  <si>
    <t>Smt. Manorama Meher</t>
  </si>
  <si>
    <t>Bandhakala (Double Ikat) Silk &amp; Natural Madder Dyeing</t>
  </si>
  <si>
    <t>Bargarh</t>
  </si>
  <si>
    <t>Barpali Handloom Cluster, Bargarh</t>
  </si>
  <si>
    <t>#OD-IKAT-BARP-901</t>
  </si>
  <si>
    <t>manorama.meher@upi</t>
  </si>
  <si>
    <t>National Award winner leading a 32-women weaving cooperative weaving mathematical poetry and Konark wheels onto handspun silk.</t>
  </si>
  <si>
    <t>artisan-03</t>
  </si>
  <si>
    <t>Shri Budhuram Bhatra</t>
  </si>
  <si>
    <t>Ancient 4,000-Year Lost-Wax (Cire Perdue) Dokra Brass Casting</t>
  </si>
  <si>
    <t>Koraput</t>
  </si>
  <si>
    <t>Gupteswar Forest Hamlet, Koraput</t>
  </si>
  <si>
    <t>#OD-DOKRA-KORAP-411</t>
  </si>
  <si>
    <t>budhuram.bhatra@upi</t>
  </si>
  <si>
    <t>Preserving prehistoric metallurgy methods using beeswax, river clay, and recycled brass to sculpt indigenous tribal deities.</t>
  </si>
  <si>
    <t>artisan-04</t>
  </si>
  <si>
    <t>Shri Jagabandhu Sahoo</t>
  </si>
  <si>
    <t>Tarakasi (Fine Silver Filigree) Master Sculptor</t>
  </si>
  <si>
    <t>Alisha Bazar Filigree Hub, Cuttack</t>
  </si>
  <si>
    <t>#OD-TARAKASI-CUT-108</t>
  </si>
  <si>
    <t>jagabandhu.tarakasi@upi</t>
  </si>
  <si>
    <t>Creating gossamer jewelry and Durga Puja silver tableaux (Chandi Medha) using 99% pure drawn silver wire as thin as human hair.</t>
  </si>
  <si>
    <t>artisan-05</t>
  </si>
  <si>
    <t>Guru Braja Kishore Mohapatra</t>
  </si>
  <si>
    <t>Traditional Konark Stone Sculpting &amp; Chlorite Carving</t>
  </si>
  <si>
    <t>Stone Sculptors Enclave, Konark</t>
  </si>
  <si>
    <t>#OD-STONE-KONARK-305</t>
  </si>
  <si>
    <t>brajakishore.stone@upi</t>
  </si>
  <si>
    <t>Direct descendant of the 1200 master sculptors who built the Sun Temple, carving miniature Konark wheels and deities from sandstone.</t>
  </si>
  <si>
    <t>artisan-06</t>
  </si>
  <si>
    <t>Smt. Sukanti Mohanty</t>
  </si>
  <si>
    <t>Pipili Applique Canopies &amp; Temple Hangings</t>
  </si>
  <si>
    <t>Main Bazaar, Pipili Applique Cluster</t>
  </si>
  <si>
    <t>#OD-PIPLI-APPL-512</t>
  </si>
  <si>
    <t>sukanti.pipili@upi</t>
  </si>
  <si>
    <t>Master artisan creating hand-stitched 3D applique wall-hangings, royal umbrellas, and embroidered lampshades with mirror work.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</si>
</sst>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CCCCCC"/>
      <name val="System-ui"/>
    </font>
    <font>
      <sz val="11.0"/>
      <color rgb="FFCCCC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01010"/>
        <bgColor rgb="FF101010"/>
      </patternFill>
    </fill>
  </fills>
  <borders count="10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4" fillId="2" fontId="1" numFmtId="0" xfId="0" applyAlignment="1" applyBorder="1" applyFill="1" applyFont="1">
      <alignment horizontal="left" readingOrder="0"/>
    </xf>
    <xf borderId="5" fillId="2" fontId="1" numFmtId="0" xfId="0" applyAlignment="1" applyBorder="1" applyFill="1" applyFont="1">
      <alignment horizontal="left" readingOrder="0"/>
    </xf>
    <xf borderId="6" fillId="2" fontId="1" numFmtId="0" xfId="0" applyAlignment="1" applyBorder="1" applyFill="1" applyFont="1">
      <alignment horizontal="left"/>
    </xf>
    <xf borderId="5" fillId="2" fontId="1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 readingOrder="0"/>
    </xf>
    <xf borderId="6" fillId="2" fontId="1" numFmtId="0" xfId="0" applyAlignment="1" applyBorder="1" applyFill="1" applyFont="1">
      <alignment horizontal="left" readingOrder="0"/>
    </xf>
    <xf borderId="7" fillId="2" fontId="1" numFmtId="0" xfId="0" applyAlignment="1" applyBorder="1" applyFill="1" applyFont="1">
      <alignment horizontal="left" readingOrder="0"/>
    </xf>
    <xf borderId="8" fillId="2" fontId="1" numFmtId="0" xfId="0" applyAlignment="1" applyBorder="1" applyFill="1" applyFont="1">
      <alignment horizontal="left" readingOrder="0"/>
    </xf>
    <xf borderId="9" fillId="2" fontId="1" numFmtId="0" xfId="0" applyAlignment="1" applyBorder="1" applyFill="1" applyFont="1">
      <alignment horizontal="left" readingOrder="0"/>
    </xf>
    <xf borderId="8" fillId="2" fontId="1" numFmtId="0" xfId="0" applyAlignment="1" applyBorder="1" applyFill="1" applyFont="1">
      <alignment horizontal="left"/>
    </xf>
    <xf borderId="9" fillId="2" fontId="1" numFmtId="0" xfId="0" applyAlignment="1" applyBorder="1" applyFill="1" applyFont="1">
      <alignment horizontal="left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13</v>
      </c>
      <c r="M1" s="2" t="s">
        <v>17</v>
      </c>
      <c r="N1" s="3" t="s">
        <v>19</v>
      </c>
    </row>
    <row r="2">
      <c r="A2" s="4" t="s">
        <v>20</v>
      </c>
      <c r="B2" s="5" t="s">
        <v>23</v>
      </c>
      <c r="C2" s="5" t="s">
        <v>26</v>
      </c>
      <c r="D2" s="5" t="s">
        <v>28</v>
      </c>
      <c r="E2" s="5">
        <v>20.2435</v>
      </c>
      <c r="F2" s="5">
        <v>85.8326</v>
      </c>
      <c r="G2" s="5" t="s">
        <v>31</v>
      </c>
      <c r="H2" s="5" t="s">
        <v>34</v>
      </c>
      <c r="I2" s="5" t="s">
        <v>36</v>
      </c>
      <c r="J2" s="5" t="s">
        <v>39</v>
      </c>
      <c r="K2" s="5">
        <v>4.9</v>
      </c>
      <c r="L2" s="5" t="s">
        <v>40</v>
      </c>
      <c r="M2" s="7" t="str">
        <f>+91 94370 12345</f>
        <v>#ERROR!</v>
      </c>
      <c r="N2" s="9" t="b">
        <v>1</v>
      </c>
    </row>
    <row r="3">
      <c r="A3" s="4" t="s">
        <v>63</v>
      </c>
      <c r="B3" s="5" t="s">
        <v>65</v>
      </c>
      <c r="C3" s="5" t="s">
        <v>66</v>
      </c>
      <c r="D3" s="5" t="s">
        <v>68</v>
      </c>
      <c r="E3" s="5">
        <v>20.4812</v>
      </c>
      <c r="F3" s="5">
        <v>85.8645</v>
      </c>
      <c r="G3" s="5" t="s">
        <v>69</v>
      </c>
      <c r="H3" s="5" t="s">
        <v>71</v>
      </c>
      <c r="I3" s="5" t="s">
        <v>36</v>
      </c>
      <c r="J3" s="5" t="s">
        <v>74</v>
      </c>
      <c r="K3" s="5">
        <v>4.95</v>
      </c>
      <c r="L3" s="5" t="s">
        <v>75</v>
      </c>
      <c r="M3" s="7" t="str">
        <f>+91 98610 88771</f>
        <v>#ERROR!</v>
      </c>
      <c r="N3" s="9" t="b">
        <v>1</v>
      </c>
    </row>
    <row r="4">
      <c r="A4" s="4" t="s">
        <v>80</v>
      </c>
      <c r="B4" s="5" t="s">
        <v>81</v>
      </c>
      <c r="C4" s="5" t="s">
        <v>27</v>
      </c>
      <c r="D4" s="5" t="s">
        <v>84</v>
      </c>
      <c r="E4" s="5">
        <v>19.8135</v>
      </c>
      <c r="F4" s="5">
        <v>85.8312</v>
      </c>
      <c r="G4" s="5" t="s">
        <v>88</v>
      </c>
      <c r="H4" s="5" t="s">
        <v>89</v>
      </c>
      <c r="I4" s="5" t="s">
        <v>36</v>
      </c>
      <c r="J4" s="5" t="s">
        <v>90</v>
      </c>
      <c r="K4" s="5">
        <v>4.92</v>
      </c>
      <c r="L4" s="5" t="s">
        <v>92</v>
      </c>
      <c r="M4" s="7" t="str">
        <f>+91 97780 45612</f>
        <v>#ERROR!</v>
      </c>
      <c r="N4" s="9" t="b">
        <v>1</v>
      </c>
    </row>
    <row r="5">
      <c r="A5" s="4" t="s">
        <v>97</v>
      </c>
      <c r="B5" s="5" t="s">
        <v>100</v>
      </c>
      <c r="C5" s="5" t="s">
        <v>27</v>
      </c>
      <c r="D5" s="5" t="s">
        <v>30</v>
      </c>
      <c r="E5" s="5">
        <v>19.8732</v>
      </c>
      <c r="F5" s="5">
        <v>85.8241</v>
      </c>
      <c r="G5" s="5" t="s">
        <v>104</v>
      </c>
      <c r="H5" s="5" t="s">
        <v>105</v>
      </c>
      <c r="I5" s="5" t="s">
        <v>36</v>
      </c>
      <c r="J5" s="5" t="s">
        <v>108</v>
      </c>
      <c r="K5" s="5">
        <v>4.88</v>
      </c>
      <c r="L5" s="5" t="s">
        <v>109</v>
      </c>
      <c r="M5" s="7" t="str">
        <f>+91 99371 90234</f>
        <v>#ERROR!</v>
      </c>
      <c r="N5" s="9" t="b">
        <v>1</v>
      </c>
    </row>
    <row r="6">
      <c r="A6" s="10" t="s">
        <v>112</v>
      </c>
      <c r="B6" s="11" t="s">
        <v>114</v>
      </c>
      <c r="C6" s="11" t="s">
        <v>27</v>
      </c>
      <c r="D6" s="11" t="s">
        <v>116</v>
      </c>
      <c r="E6" s="11">
        <v>19.8055</v>
      </c>
      <c r="F6" s="11">
        <v>85.8184</v>
      </c>
      <c r="G6" s="11" t="s">
        <v>117</v>
      </c>
      <c r="H6" s="11" t="s">
        <v>118</v>
      </c>
      <c r="I6" s="11" t="s">
        <v>36</v>
      </c>
      <c r="J6" s="11" t="s">
        <v>121</v>
      </c>
      <c r="K6" s="11">
        <v>4.85</v>
      </c>
      <c r="L6" s="11" t="s">
        <v>124</v>
      </c>
      <c r="M6" s="13" t="str">
        <f>+91 94372 88190</f>
        <v>#ERROR!</v>
      </c>
      <c r="N6" s="1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12</v>
      </c>
      <c r="I1" s="2" t="s">
        <v>8</v>
      </c>
      <c r="J1" s="2" t="s">
        <v>11</v>
      </c>
      <c r="K1" s="2" t="s">
        <v>16</v>
      </c>
      <c r="L1" s="3" t="s">
        <v>17</v>
      </c>
    </row>
    <row r="2">
      <c r="A2" s="4" t="s">
        <v>22</v>
      </c>
      <c r="B2" s="5" t="s">
        <v>25</v>
      </c>
      <c r="C2" s="5" t="s">
        <v>27</v>
      </c>
      <c r="D2" s="5" t="s">
        <v>30</v>
      </c>
      <c r="E2" s="5">
        <v>19.8741</v>
      </c>
      <c r="F2" s="5">
        <v>85.8235</v>
      </c>
      <c r="G2" s="5" t="s">
        <v>33</v>
      </c>
      <c r="H2" s="5" t="s">
        <v>37</v>
      </c>
      <c r="I2" s="5" t="s">
        <v>36</v>
      </c>
      <c r="J2" s="5">
        <v>4.93</v>
      </c>
      <c r="K2" s="5" t="s">
        <v>41</v>
      </c>
      <c r="L2" s="6" t="str">
        <f>+91 94371 67890</f>
        <v>#ERROR!</v>
      </c>
    </row>
    <row r="3">
      <c r="A3" s="4" t="s">
        <v>43</v>
      </c>
      <c r="B3" s="5" t="s">
        <v>45</v>
      </c>
      <c r="C3" s="5" t="s">
        <v>27</v>
      </c>
      <c r="D3" s="5" t="s">
        <v>47</v>
      </c>
      <c r="E3" s="5">
        <v>19.8012</v>
      </c>
      <c r="F3" s="5">
        <v>85.8398</v>
      </c>
      <c r="G3" s="5" t="s">
        <v>49</v>
      </c>
      <c r="H3" s="5" t="s">
        <v>51</v>
      </c>
      <c r="I3" s="5" t="s">
        <v>53</v>
      </c>
      <c r="J3" s="5">
        <v>4.75</v>
      </c>
      <c r="K3" s="5" t="s">
        <v>54</v>
      </c>
      <c r="L3" s="9" t="s">
        <v>55</v>
      </c>
    </row>
    <row r="4">
      <c r="A4" s="4" t="s">
        <v>61</v>
      </c>
      <c r="B4" s="5" t="s">
        <v>64</v>
      </c>
      <c r="C4" s="5" t="s">
        <v>27</v>
      </c>
      <c r="D4" s="5" t="s">
        <v>67</v>
      </c>
      <c r="E4" s="5">
        <v>19.8885</v>
      </c>
      <c r="F4" s="5">
        <v>86.0954</v>
      </c>
      <c r="G4" s="5" t="s">
        <v>70</v>
      </c>
      <c r="H4" s="5" t="s">
        <v>72</v>
      </c>
      <c r="I4" s="5" t="s">
        <v>36</v>
      </c>
      <c r="J4" s="5">
        <v>4.68</v>
      </c>
      <c r="K4" s="5" t="s">
        <v>78</v>
      </c>
      <c r="L4" s="6" t="str">
        <f>+91 98612 33445</f>
        <v>#ERROR!</v>
      </c>
    </row>
    <row r="5">
      <c r="A5" s="4" t="s">
        <v>93</v>
      </c>
      <c r="B5" s="5" t="s">
        <v>95</v>
      </c>
      <c r="C5" s="5" t="s">
        <v>96</v>
      </c>
      <c r="D5" s="5" t="s">
        <v>99</v>
      </c>
      <c r="E5" s="5">
        <v>20.6402</v>
      </c>
      <c r="F5" s="5">
        <v>86.3355</v>
      </c>
      <c r="G5" s="5" t="s">
        <v>102</v>
      </c>
      <c r="H5" s="5" t="s">
        <v>103</v>
      </c>
      <c r="I5" s="5" t="s">
        <v>53</v>
      </c>
      <c r="J5" s="5">
        <v>4.88</v>
      </c>
      <c r="K5" s="5" t="s">
        <v>107</v>
      </c>
      <c r="L5" s="6" t="str">
        <f>+91 94378 11200</f>
        <v>#ERROR!</v>
      </c>
    </row>
    <row r="6">
      <c r="A6" s="10" t="s">
        <v>113</v>
      </c>
      <c r="B6" s="11" t="s">
        <v>115</v>
      </c>
      <c r="C6" s="11" t="s">
        <v>26</v>
      </c>
      <c r="D6" s="11" t="s">
        <v>28</v>
      </c>
      <c r="E6" s="11">
        <v>20.2398</v>
      </c>
      <c r="F6" s="11">
        <v>85.8315</v>
      </c>
      <c r="G6" s="11" t="s">
        <v>120</v>
      </c>
      <c r="H6" s="11" t="s">
        <v>122</v>
      </c>
      <c r="I6" s="11" t="s">
        <v>36</v>
      </c>
      <c r="J6" s="11">
        <v>4.82</v>
      </c>
      <c r="K6" s="11" t="s">
        <v>125</v>
      </c>
      <c r="L6" s="14" t="str">
        <f>+91 99380 77123</f>
        <v>#ERROR!</v>
      </c>
    </row>
    <row r="7">
      <c r="A7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</v>
      </c>
      <c r="H1" s="2" t="s">
        <v>15</v>
      </c>
      <c r="I1" s="2" t="s">
        <v>18</v>
      </c>
      <c r="J1" s="3" t="s">
        <v>17</v>
      </c>
    </row>
    <row r="2">
      <c r="A2" s="4" t="s">
        <v>21</v>
      </c>
      <c r="B2" s="5" t="s">
        <v>24</v>
      </c>
      <c r="C2" s="5" t="s">
        <v>27</v>
      </c>
      <c r="D2" s="5" t="s">
        <v>29</v>
      </c>
      <c r="E2" s="5">
        <v>19.8142</v>
      </c>
      <c r="F2" s="5">
        <v>85.8391</v>
      </c>
      <c r="G2" s="5" t="s">
        <v>32</v>
      </c>
      <c r="H2" s="5" t="s">
        <v>35</v>
      </c>
      <c r="I2" s="5" t="s">
        <v>38</v>
      </c>
      <c r="J2" s="6" t="str">
        <f>+91 94373 55112</f>
        <v>#ERROR!</v>
      </c>
    </row>
    <row r="3">
      <c r="A3" s="4" t="s">
        <v>42</v>
      </c>
      <c r="B3" s="5" t="s">
        <v>44</v>
      </c>
      <c r="C3" s="5" t="s">
        <v>27</v>
      </c>
      <c r="D3" s="5" t="s">
        <v>46</v>
      </c>
      <c r="E3" s="5">
        <v>19.8654</v>
      </c>
      <c r="F3" s="5">
        <v>85.8198</v>
      </c>
      <c r="G3" s="5" t="s">
        <v>48</v>
      </c>
      <c r="H3" s="5" t="s">
        <v>50</v>
      </c>
      <c r="I3" s="5" t="s">
        <v>52</v>
      </c>
      <c r="J3" s="6" t="str">
        <f>+91 98614 77209</f>
        <v>#ERROR!</v>
      </c>
    </row>
    <row r="4">
      <c r="A4" s="4" t="s">
        <v>56</v>
      </c>
      <c r="B4" s="5" t="s">
        <v>57</v>
      </c>
      <c r="C4" s="5" t="s">
        <v>26</v>
      </c>
      <c r="D4" s="5" t="s">
        <v>58</v>
      </c>
      <c r="E4" s="5">
        <v>20.2528</v>
      </c>
      <c r="F4" s="5">
        <v>85.8178</v>
      </c>
      <c r="G4" s="5" t="s">
        <v>59</v>
      </c>
      <c r="H4" s="5" t="s">
        <v>60</v>
      </c>
      <c r="I4" s="5" t="s">
        <v>62</v>
      </c>
      <c r="J4" s="6" t="str">
        <f>+91 674 291 4455</f>
        <v>#ERROR!</v>
      </c>
    </row>
    <row r="5">
      <c r="A5" s="10" t="s">
        <v>73</v>
      </c>
      <c r="B5" s="11" t="s">
        <v>77</v>
      </c>
      <c r="C5" s="11" t="s">
        <v>27</v>
      </c>
      <c r="D5" s="11" t="s">
        <v>82</v>
      </c>
      <c r="E5" s="11">
        <v>19.6745</v>
      </c>
      <c r="F5" s="11">
        <v>85.4389</v>
      </c>
      <c r="G5" s="11" t="s">
        <v>85</v>
      </c>
      <c r="H5" s="11" t="s">
        <v>86</v>
      </c>
      <c r="I5" s="11" t="s">
        <v>87</v>
      </c>
      <c r="J5" s="12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76</v>
      </c>
      <c r="G1" s="2" t="s">
        <v>79</v>
      </c>
      <c r="H1" s="2" t="s">
        <v>83</v>
      </c>
      <c r="I1" s="2" t="s">
        <v>91</v>
      </c>
      <c r="J1" s="2" t="s">
        <v>94</v>
      </c>
      <c r="K1" s="2" t="s">
        <v>98</v>
      </c>
      <c r="L1" s="2" t="s">
        <v>101</v>
      </c>
      <c r="M1" s="3" t="s">
        <v>106</v>
      </c>
    </row>
    <row r="2">
      <c r="A2" s="4" t="s">
        <v>110</v>
      </c>
      <c r="B2" s="5" t="s">
        <v>111</v>
      </c>
      <c r="C2" s="5" t="s">
        <v>27</v>
      </c>
      <c r="D2" s="5">
        <v>19.8732</v>
      </c>
      <c r="E2" s="5">
        <v>85.8241</v>
      </c>
      <c r="F2" s="5" t="s">
        <v>119</v>
      </c>
      <c r="G2" s="5" t="b">
        <v>1</v>
      </c>
      <c r="H2" s="5" t="s">
        <v>123</v>
      </c>
      <c r="I2" s="5" t="s">
        <v>126</v>
      </c>
      <c r="J2" s="5">
        <v>0.0</v>
      </c>
      <c r="K2" s="5" t="s">
        <v>127</v>
      </c>
      <c r="L2" s="5" t="s">
        <v>128</v>
      </c>
      <c r="M2" s="9" t="s">
        <v>129</v>
      </c>
    </row>
    <row r="3">
      <c r="A3" s="4" t="s">
        <v>130</v>
      </c>
      <c r="B3" s="5" t="s">
        <v>131</v>
      </c>
      <c r="C3" s="5" t="s">
        <v>27</v>
      </c>
      <c r="D3" s="5">
        <v>19.8876</v>
      </c>
      <c r="E3" s="5">
        <v>86.0945</v>
      </c>
      <c r="F3" s="5" t="s">
        <v>132</v>
      </c>
      <c r="G3" s="5" t="b">
        <v>0</v>
      </c>
      <c r="H3" s="5" t="s">
        <v>133</v>
      </c>
      <c r="I3" s="5" t="s">
        <v>134</v>
      </c>
      <c r="J3" s="5">
        <v>75.0</v>
      </c>
      <c r="K3" s="5" t="s">
        <v>135</v>
      </c>
      <c r="L3" s="5" t="s">
        <v>136</v>
      </c>
      <c r="M3" s="9" t="s">
        <v>137</v>
      </c>
    </row>
    <row r="4">
      <c r="A4" s="4" t="s">
        <v>138</v>
      </c>
      <c r="B4" s="5" t="s">
        <v>139</v>
      </c>
      <c r="C4" s="5" t="s">
        <v>96</v>
      </c>
      <c r="D4" s="5">
        <v>20.6415</v>
      </c>
      <c r="E4" s="5">
        <v>86.3362</v>
      </c>
      <c r="F4" s="5" t="s">
        <v>119</v>
      </c>
      <c r="G4" s="5" t="b">
        <v>1</v>
      </c>
      <c r="H4" s="5" t="s">
        <v>140</v>
      </c>
      <c r="I4" s="5" t="s">
        <v>126</v>
      </c>
      <c r="J4" s="5">
        <v>0.0</v>
      </c>
      <c r="K4" s="5" t="s">
        <v>141</v>
      </c>
      <c r="L4" s="5" t="s">
        <v>142</v>
      </c>
      <c r="M4" s="9" t="s">
        <v>143</v>
      </c>
    </row>
    <row r="5">
      <c r="A5" s="4" t="s">
        <v>144</v>
      </c>
      <c r="B5" s="5" t="s">
        <v>145</v>
      </c>
      <c r="C5" s="5" t="s">
        <v>26</v>
      </c>
      <c r="D5" s="5">
        <v>20.1925</v>
      </c>
      <c r="E5" s="5">
        <v>85.8394</v>
      </c>
      <c r="F5" s="5" t="s">
        <v>132</v>
      </c>
      <c r="G5" s="5" t="b">
        <v>0</v>
      </c>
      <c r="H5" s="5" t="s">
        <v>146</v>
      </c>
      <c r="I5" s="5" t="s">
        <v>147</v>
      </c>
      <c r="J5" s="5">
        <v>15.0</v>
      </c>
      <c r="K5" s="5" t="s">
        <v>148</v>
      </c>
      <c r="L5" s="5" t="s">
        <v>128</v>
      </c>
      <c r="M5" s="9" t="s">
        <v>149</v>
      </c>
    </row>
    <row r="6">
      <c r="A6" s="4" t="s">
        <v>150</v>
      </c>
      <c r="B6" s="5" t="s">
        <v>151</v>
      </c>
      <c r="C6" s="5" t="s">
        <v>27</v>
      </c>
      <c r="D6" s="5">
        <v>20.1165</v>
      </c>
      <c r="E6" s="5">
        <v>85.8328</v>
      </c>
      <c r="F6" s="5" t="s">
        <v>119</v>
      </c>
      <c r="G6" s="5" t="b">
        <v>1</v>
      </c>
      <c r="H6" s="5" t="s">
        <v>152</v>
      </c>
      <c r="I6" s="5" t="s">
        <v>126</v>
      </c>
      <c r="J6" s="5">
        <v>0.0</v>
      </c>
      <c r="K6" s="5" t="s">
        <v>153</v>
      </c>
      <c r="L6" s="5" t="s">
        <v>128</v>
      </c>
      <c r="M6" s="9" t="s">
        <v>154</v>
      </c>
    </row>
    <row r="7">
      <c r="A7" s="4" t="s">
        <v>155</v>
      </c>
      <c r="B7" s="5" t="s">
        <v>156</v>
      </c>
      <c r="C7" s="5" t="s">
        <v>66</v>
      </c>
      <c r="D7" s="5">
        <v>20.4815</v>
      </c>
      <c r="E7" s="5">
        <v>85.8652</v>
      </c>
      <c r="F7" s="5" t="s">
        <v>119</v>
      </c>
      <c r="G7" s="5" t="b">
        <v>1</v>
      </c>
      <c r="H7" s="5" t="s">
        <v>157</v>
      </c>
      <c r="I7" s="5" t="s">
        <v>126</v>
      </c>
      <c r="J7" s="5">
        <v>0.0</v>
      </c>
      <c r="K7" s="5" t="s">
        <v>158</v>
      </c>
      <c r="L7" s="5" t="s">
        <v>128</v>
      </c>
      <c r="M7" s="9" t="s">
        <v>159</v>
      </c>
    </row>
    <row r="8">
      <c r="A8" s="10" t="s">
        <v>160</v>
      </c>
      <c r="B8" s="11" t="s">
        <v>161</v>
      </c>
      <c r="C8" s="11" t="s">
        <v>26</v>
      </c>
      <c r="D8" s="11">
        <v>20.2185</v>
      </c>
      <c r="E8" s="11">
        <v>85.8672</v>
      </c>
      <c r="F8" s="11" t="s">
        <v>119</v>
      </c>
      <c r="G8" s="11" t="b">
        <v>1</v>
      </c>
      <c r="H8" s="11" t="s">
        <v>162</v>
      </c>
      <c r="I8" s="11" t="s">
        <v>126</v>
      </c>
      <c r="J8" s="11">
        <v>0.0</v>
      </c>
      <c r="K8" s="11" t="s">
        <v>163</v>
      </c>
      <c r="L8" s="11" t="s">
        <v>128</v>
      </c>
      <c r="M8" s="12" t="s">
        <v>164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165</v>
      </c>
      <c r="D1" s="2" t="s">
        <v>2</v>
      </c>
      <c r="E1" s="2" t="s">
        <v>166</v>
      </c>
      <c r="F1" s="2" t="s">
        <v>4</v>
      </c>
      <c r="G1" s="2" t="s">
        <v>5</v>
      </c>
      <c r="H1" s="2" t="s">
        <v>167</v>
      </c>
      <c r="I1" s="2" t="s">
        <v>11</v>
      </c>
      <c r="J1" s="2" t="s">
        <v>168</v>
      </c>
      <c r="K1" s="2" t="s">
        <v>169</v>
      </c>
      <c r="L1" s="2" t="s">
        <v>170</v>
      </c>
      <c r="M1" s="2" t="s">
        <v>171</v>
      </c>
      <c r="N1" s="3" t="s">
        <v>172</v>
      </c>
    </row>
    <row r="2">
      <c r="A2" s="4" t="s">
        <v>173</v>
      </c>
      <c r="B2" s="5" t="s">
        <v>174</v>
      </c>
      <c r="C2" s="5" t="s">
        <v>175</v>
      </c>
      <c r="D2" s="5" t="s">
        <v>27</v>
      </c>
      <c r="E2" s="5" t="s">
        <v>176</v>
      </c>
      <c r="F2" s="5">
        <v>19.8735</v>
      </c>
      <c r="G2" s="5">
        <v>85.8238</v>
      </c>
      <c r="H2" s="5" t="s">
        <v>177</v>
      </c>
      <c r="I2" s="5">
        <v>5.0</v>
      </c>
      <c r="J2" s="5">
        <v>189.0</v>
      </c>
      <c r="K2" s="5">
        <v>500.0</v>
      </c>
      <c r="L2" s="7" t="str">
        <f>+91 94371 90234</f>
        <v>#ERROR!</v>
      </c>
      <c r="M2" s="5" t="s">
        <v>178</v>
      </c>
      <c r="N2" s="9" t="s">
        <v>179</v>
      </c>
    </row>
    <row r="3">
      <c r="A3" s="4" t="s">
        <v>180</v>
      </c>
      <c r="B3" s="5" t="s">
        <v>181</v>
      </c>
      <c r="C3" s="5" t="s">
        <v>182</v>
      </c>
      <c r="D3" s="5" t="s">
        <v>183</v>
      </c>
      <c r="E3" s="5" t="s">
        <v>184</v>
      </c>
      <c r="F3" s="5">
        <v>21.1823</v>
      </c>
      <c r="G3" s="5">
        <v>83.5934</v>
      </c>
      <c r="H3" s="5" t="s">
        <v>185</v>
      </c>
      <c r="I3" s="5">
        <v>4.98</v>
      </c>
      <c r="J3" s="5">
        <v>240.0</v>
      </c>
      <c r="K3" s="5">
        <v>650.0</v>
      </c>
      <c r="L3" s="7" t="str">
        <f>+91 98613 22091</f>
        <v>#ERROR!</v>
      </c>
      <c r="M3" s="5" t="s">
        <v>186</v>
      </c>
      <c r="N3" s="9" t="s">
        <v>187</v>
      </c>
    </row>
    <row r="4">
      <c r="A4" s="4" t="s">
        <v>188</v>
      </c>
      <c r="B4" s="5" t="s">
        <v>189</v>
      </c>
      <c r="C4" s="5" t="s">
        <v>190</v>
      </c>
      <c r="D4" s="5" t="s">
        <v>191</v>
      </c>
      <c r="E4" s="5" t="s">
        <v>192</v>
      </c>
      <c r="F4" s="5">
        <v>18.8122</v>
      </c>
      <c r="G4" s="5">
        <v>82.7134</v>
      </c>
      <c r="H4" s="5" t="s">
        <v>193</v>
      </c>
      <c r="I4" s="5">
        <v>4.95</v>
      </c>
      <c r="J4" s="5">
        <v>162.0</v>
      </c>
      <c r="K4" s="5">
        <v>700.0</v>
      </c>
      <c r="L4" s="7" t="str">
        <f>+91 97782 55431</f>
        <v>#ERROR!</v>
      </c>
      <c r="M4" s="5" t="s">
        <v>194</v>
      </c>
      <c r="N4" s="9" t="s">
        <v>195</v>
      </c>
    </row>
    <row r="5">
      <c r="A5" s="4" t="s">
        <v>196</v>
      </c>
      <c r="B5" s="5" t="s">
        <v>197</v>
      </c>
      <c r="C5" s="5" t="s">
        <v>198</v>
      </c>
      <c r="D5" s="5" t="s">
        <v>66</v>
      </c>
      <c r="E5" s="5" t="s">
        <v>199</v>
      </c>
      <c r="F5" s="5">
        <v>20.4682</v>
      </c>
      <c r="G5" s="5">
        <v>85.8791</v>
      </c>
      <c r="H5" s="5" t="s">
        <v>200</v>
      </c>
      <c r="I5" s="5">
        <v>4.94</v>
      </c>
      <c r="J5" s="5">
        <v>215.0</v>
      </c>
      <c r="K5" s="5">
        <v>600.0</v>
      </c>
      <c r="L5" s="7" t="str">
        <f>+91 94372 44102</f>
        <v>#ERROR!</v>
      </c>
      <c r="M5" s="5" t="s">
        <v>201</v>
      </c>
      <c r="N5" s="9" t="s">
        <v>202</v>
      </c>
    </row>
    <row r="6">
      <c r="A6" s="4" t="s">
        <v>203</v>
      </c>
      <c r="B6" s="5" t="s">
        <v>204</v>
      </c>
      <c r="C6" s="5" t="s">
        <v>205</v>
      </c>
      <c r="D6" s="5" t="s">
        <v>27</v>
      </c>
      <c r="E6" s="5" t="s">
        <v>206</v>
      </c>
      <c r="F6" s="5">
        <v>19.8892</v>
      </c>
      <c r="G6" s="5">
        <v>86.0968</v>
      </c>
      <c r="H6" s="5" t="s">
        <v>207</v>
      </c>
      <c r="I6" s="5">
        <v>4.91</v>
      </c>
      <c r="J6" s="5">
        <v>148.0</v>
      </c>
      <c r="K6" s="5">
        <v>550.0</v>
      </c>
      <c r="L6" s="7" t="str">
        <f>+91 98615 88234</f>
        <v>#ERROR!</v>
      </c>
      <c r="M6" s="5" t="s">
        <v>208</v>
      </c>
      <c r="N6" s="9" t="s">
        <v>209</v>
      </c>
    </row>
    <row r="7">
      <c r="A7" s="10" t="s">
        <v>210</v>
      </c>
      <c r="B7" s="11" t="s">
        <v>211</v>
      </c>
      <c r="C7" s="11" t="s">
        <v>212</v>
      </c>
      <c r="D7" s="11" t="s">
        <v>27</v>
      </c>
      <c r="E7" s="11" t="s">
        <v>213</v>
      </c>
      <c r="F7" s="11">
        <v>20.1172</v>
      </c>
      <c r="G7" s="11">
        <v>85.8335</v>
      </c>
      <c r="H7" s="11" t="s">
        <v>214</v>
      </c>
      <c r="I7" s="11">
        <v>4.89</v>
      </c>
      <c r="J7" s="11">
        <v>176.0</v>
      </c>
      <c r="K7" s="11">
        <v>450.0</v>
      </c>
      <c r="L7" s="13" t="str">
        <f>+91 99370 66129</f>
        <v>#ERROR!</v>
      </c>
      <c r="M7" s="11" t="s">
        <v>215</v>
      </c>
      <c r="N7" s="12" t="s">
        <v>216</v>
      </c>
    </row>
    <row r="18"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"/>
    </row>
    <row r="19"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7"/>
      <c r="T19" s="5"/>
      <c r="U19" s="9"/>
    </row>
    <row r="20"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7"/>
      <c r="T20" s="5"/>
      <c r="U20" s="9"/>
    </row>
    <row r="21"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7"/>
      <c r="T21" s="5"/>
      <c r="U21" s="9"/>
    </row>
    <row r="22"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7"/>
      <c r="T22" s="5"/>
      <c r="U22" s="9"/>
    </row>
    <row r="23"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7"/>
      <c r="T23" s="5"/>
      <c r="U23" s="9"/>
    </row>
    <row r="24">
      <c r="H24" s="1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3"/>
      <c r="T24" s="11"/>
      <c r="U24" s="12"/>
    </row>
  </sheetData>
  <drawing r:id="rId1"/>
</worksheet>
</file>